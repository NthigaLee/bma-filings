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Balance Sheet - 2024</t>
        </is>
      </c>
    </row>
    <row r="2">
      <c r="A2" s="2" t="inlineStr">
        <is>
          <t>Line #</t>
        </is>
      </c>
      <c r="B2" s="2" t="inlineStr">
        <is>
          <t>Line Item</t>
        </is>
      </c>
      <c r="C2" s="2" t="inlineStr">
        <is>
          <t>ARCH REINSURANCE LTD. AND SUBSIDIARIES</t>
        </is>
      </c>
      <c r="D2" s="2" t="inlineStr">
        <is>
          <t>ASCOT BERMUDA LIMITED</t>
        </is>
      </c>
      <c r="E2" s="2" t="inlineStr">
        <is>
          <t>ASPEN BERMUDA LIMITED</t>
        </is>
      </c>
      <c r="F2" s="2" t="inlineStr">
        <is>
          <t>AXIS SPECIALTY LIMITED</t>
        </is>
      </c>
      <c r="G2" s="2" t="inlineStr">
        <is>
          <t>CHUBB TEMPEST REINSURANCE LTD. AND ITS SUBSIDIARIES</t>
        </is>
      </c>
      <c r="H2" s="2" t="inlineStr">
        <is>
          <t>EVEREST REINSURANCE (BERMUDA), LTD.</t>
        </is>
      </c>
      <c r="I2" s="2" t="inlineStr">
        <is>
          <t>MARKEL BERMUDA LIMITED</t>
        </is>
      </c>
      <c r="J2" s="2" t="inlineStr">
        <is>
          <t>RENAISSANCE REINSURANCE LTD. AND SUBSIDIARIES</t>
        </is>
      </c>
      <c r="K2" s="2" t="inlineStr">
        <is>
          <t>Unknown Company</t>
        </is>
      </c>
    </row>
    <row r="3">
      <c r="A3" t="n">
        <v>1</v>
      </c>
      <c r="B3" t="inlineStr">
        <is>
          <t>Fixed maturities</t>
        </is>
      </c>
      <c r="C3" s="3" t="n">
        <v>27570</v>
      </c>
      <c r="D3" s="3" t="n">
        <v>3134099</v>
      </c>
      <c r="E3" s="3" t="n">
        <v>0</v>
      </c>
      <c r="F3" s="3" t="n">
        <v>163696</v>
      </c>
      <c r="G3" s="3" t="n">
        <v>0</v>
      </c>
      <c r="H3" s="3" t="n">
        <v>0</v>
      </c>
      <c r="I3" s="3" t="n">
        <v>0</v>
      </c>
      <c r="J3" s="3" t="n">
        <v>5265255</v>
      </c>
      <c r="K3" s="3" t="n">
        <v>6064415</v>
      </c>
    </row>
    <row r="4">
      <c r="A4" t="n">
        <v>2</v>
      </c>
      <c r="B4" t="inlineStr">
        <is>
          <t>Equity securities</t>
        </is>
      </c>
      <c r="C4" s="3" t="n">
        <v>1675</v>
      </c>
      <c r="D4" s="3" t="n">
        <v>0</v>
      </c>
      <c r="E4" s="3" t="n">
        <v>2083</v>
      </c>
      <c r="F4" s="3" t="n">
        <v>40444</v>
      </c>
      <c r="G4" s="3" t="n">
        <v>3671927</v>
      </c>
      <c r="H4" s="3" t="n">
        <v>8085</v>
      </c>
      <c r="I4" s="3" t="n">
        <v>0</v>
      </c>
      <c r="J4" s="3" t="n">
        <v>0</v>
      </c>
      <c r="K4" s="3" t="n">
        <v>918526</v>
      </c>
    </row>
    <row r="5">
      <c r="A5" t="n">
        <v>3</v>
      </c>
      <c r="B5" t="inlineStr">
        <is>
          <t>Short-term investments</t>
        </is>
      </c>
      <c r="C5" s="3" t="n">
        <v>0</v>
      </c>
      <c r="D5" s="3" t="n">
        <v>150359</v>
      </c>
      <c r="E5" s="3" t="n">
        <v>0</v>
      </c>
      <c r="F5" s="3" t="n">
        <v>109744</v>
      </c>
      <c r="G5" s="3" t="n">
        <v>0</v>
      </c>
      <c r="H5" s="3" t="n">
        <v>0</v>
      </c>
      <c r="I5" s="3" t="n">
        <v>0</v>
      </c>
      <c r="J5" s="3" t="n">
        <v>330542</v>
      </c>
      <c r="K5" s="3" t="n">
        <v>35347</v>
      </c>
    </row>
    <row r="6">
      <c r="A6" t="n">
        <v>4</v>
      </c>
      <c r="B6" t="inlineStr">
        <is>
          <t>Other investments</t>
        </is>
      </c>
      <c r="C6" s="3" t="n">
        <v>3066</v>
      </c>
      <c r="D6" s="3" t="n">
        <v>402551</v>
      </c>
      <c r="E6" s="3" t="n">
        <v>124139</v>
      </c>
      <c r="F6" s="3" t="n">
        <v>421121</v>
      </c>
      <c r="G6" s="3" t="n">
        <v>0</v>
      </c>
      <c r="H6" s="3" t="n">
        <v>1299559</v>
      </c>
      <c r="I6" s="3" t="n">
        <v>0</v>
      </c>
      <c r="J6" s="3" t="n">
        <v>8814</v>
      </c>
      <c r="K6" s="3" t="n">
        <v>1685008</v>
      </c>
    </row>
    <row r="7">
      <c r="A7" t="n">
        <v>5</v>
      </c>
      <c r="B7" t="inlineStr">
        <is>
          <t>Equity method investments</t>
        </is>
      </c>
      <c r="C7" s="3" t="n">
        <v>1237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346</v>
      </c>
      <c r="I7" s="3" t="n">
        <v>0</v>
      </c>
      <c r="J7" s="3" t="n">
        <v>1720099</v>
      </c>
      <c r="K7" s="3" t="n">
        <v>0</v>
      </c>
    </row>
    <row r="8">
      <c r="A8" t="n">
        <v>6</v>
      </c>
      <c r="B8" s="4" t="inlineStr">
        <is>
          <t>TOTAL INVESTMENTS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t="n">
        <v>7</v>
      </c>
      <c r="B9" t="inlineStr">
        <is>
          <t>Cash and cash equivalents</t>
        </is>
      </c>
      <c r="C9" s="3" t="n">
        <v>936</v>
      </c>
      <c r="D9" s="3" t="n">
        <v>533331</v>
      </c>
      <c r="E9" s="3" t="n">
        <v>2023</v>
      </c>
      <c r="F9" s="3" t="n">
        <v>389521</v>
      </c>
      <c r="G9" s="3" t="n">
        <v>0</v>
      </c>
      <c r="H9" s="3" t="n">
        <v>413914</v>
      </c>
      <c r="I9" s="3" t="n">
        <v>229601</v>
      </c>
      <c r="J9" s="3" t="n">
        <v>512200</v>
      </c>
      <c r="K9" s="3" t="n">
        <v>333565</v>
      </c>
    </row>
    <row r="10">
      <c r="A10" t="n">
        <v>8</v>
      </c>
      <c r="B10" t="inlineStr">
        <is>
          <t>Restricted cash</t>
        </is>
      </c>
      <c r="C10" s="3" t="n">
        <v>0</v>
      </c>
      <c r="D10" s="3" t="n">
        <v>22340</v>
      </c>
      <c r="E10" s="3" t="n">
        <v>0</v>
      </c>
      <c r="F10" s="3" t="n">
        <v>514014</v>
      </c>
      <c r="G10" s="3" t="n">
        <v>145388</v>
      </c>
      <c r="H10" s="3" t="n">
        <v>0</v>
      </c>
      <c r="I10" s="3" t="n">
        <v>89311</v>
      </c>
      <c r="J10" s="3" t="n">
        <v>0</v>
      </c>
      <c r="K10" s="3" t="n">
        <v>0</v>
      </c>
    </row>
    <row r="11">
      <c r="A11" t="n">
        <v>9</v>
      </c>
      <c r="B11" t="inlineStr">
        <is>
          <t>Premiums receivable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t="n">
        <v>10</v>
      </c>
      <c r="B12" t="inlineStr">
        <is>
          <t>Reinsurance recoverables</t>
        </is>
      </c>
      <c r="C12" s="3" t="n">
        <v>0</v>
      </c>
      <c r="D12" s="3" t="n">
        <v>1588921</v>
      </c>
      <c r="E12" s="3" t="n">
        <v>12</v>
      </c>
      <c r="F12" s="3" t="n">
        <v>55758</v>
      </c>
      <c r="G12" s="3" t="n">
        <v>1268437</v>
      </c>
      <c r="H12" s="3" t="n">
        <v>2521777</v>
      </c>
      <c r="I12" s="3" t="n">
        <v>1703838</v>
      </c>
      <c r="J12" s="3" t="n">
        <v>2936551</v>
      </c>
      <c r="K12" s="3" t="n">
        <v>687288</v>
      </c>
    </row>
    <row r="13">
      <c r="A13" t="n">
        <v>11</v>
      </c>
      <c r="B13" t="inlineStr">
        <is>
          <t>Prepaid reinsurance premiums</t>
        </is>
      </c>
      <c r="C13" s="3" t="n">
        <v>2428</v>
      </c>
      <c r="D13" s="3" t="n">
        <v>549857</v>
      </c>
      <c r="E13" s="3" t="n">
        <v>165818</v>
      </c>
      <c r="F13" s="3" t="n">
        <v>201281</v>
      </c>
      <c r="G13" s="3" t="n">
        <v>269150</v>
      </c>
      <c r="H13" s="3" t="n">
        <v>706507</v>
      </c>
      <c r="I13" s="3" t="n">
        <v>382414</v>
      </c>
      <c r="J13" s="3" t="n">
        <v>945331</v>
      </c>
      <c r="K13" s="3" t="n">
        <v>25481</v>
      </c>
    </row>
    <row r="14">
      <c r="A14" t="n">
        <v>12</v>
      </c>
      <c r="B14" t="inlineStr">
        <is>
          <t>Accrued investment income</t>
        </is>
      </c>
      <c r="C14" s="3" t="n">
        <v>0</v>
      </c>
      <c r="D14" s="3" t="n">
        <v>0</v>
      </c>
      <c r="E14" s="3" t="n">
        <v>0</v>
      </c>
      <c r="F14" s="3" t="n">
        <v>31148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t="n">
        <v>13</v>
      </c>
      <c r="B15" t="inlineStr">
        <is>
          <t>Deferred acquisition costs</t>
        </is>
      </c>
      <c r="C15" s="3" t="n">
        <v>1734</v>
      </c>
      <c r="D15" s="3" t="n">
        <v>444157</v>
      </c>
      <c r="E15" s="3" t="n">
        <v>79127</v>
      </c>
      <c r="F15" s="3" t="n">
        <v>140206</v>
      </c>
      <c r="G15" s="3" t="n">
        <v>530773</v>
      </c>
      <c r="H15" s="3" t="n">
        <v>439947</v>
      </c>
      <c r="I15" s="3" t="n">
        <v>185148</v>
      </c>
      <c r="J15" s="3" t="n">
        <v>678058</v>
      </c>
      <c r="K15" s="3" t="n">
        <v>444577</v>
      </c>
    </row>
    <row r="16">
      <c r="A16" t="n">
        <v>14</v>
      </c>
      <c r="B16" t="inlineStr">
        <is>
          <t>Deferred tax assets</t>
        </is>
      </c>
      <c r="C16" s="3" t="n">
        <v>0</v>
      </c>
      <c r="D16" s="3" t="n">
        <v>122262</v>
      </c>
      <c r="E16" s="3" t="n">
        <v>158795</v>
      </c>
      <c r="F16" s="3" t="n">
        <v>0</v>
      </c>
      <c r="G16" s="3" t="n">
        <v>866743</v>
      </c>
      <c r="H16" s="3" t="n">
        <v>0</v>
      </c>
      <c r="I16" s="3" t="n">
        <v>0</v>
      </c>
      <c r="J16" s="3" t="n">
        <v>444763</v>
      </c>
      <c r="K16" s="3" t="n">
        <v>0</v>
      </c>
    </row>
    <row r="17">
      <c r="A17" t="n">
        <v>15</v>
      </c>
      <c r="B17" t="inlineStr">
        <is>
          <t>Intangible assets &amp; goodwill</t>
        </is>
      </c>
      <c r="C17" s="3" t="n">
        <v>1351</v>
      </c>
      <c r="D17" s="3" t="n">
        <v>151624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273346</v>
      </c>
      <c r="K17" s="3" t="n">
        <v>61005</v>
      </c>
    </row>
    <row r="18">
      <c r="A18" t="n">
        <v>16</v>
      </c>
      <c r="B18" t="inlineStr">
        <is>
          <t>Other assets</t>
        </is>
      </c>
      <c r="C18" s="3" t="n">
        <v>6169</v>
      </c>
      <c r="D18" s="3" t="n">
        <v>130418</v>
      </c>
      <c r="E18" s="3" t="n">
        <v>31577</v>
      </c>
      <c r="F18" s="3" t="n">
        <v>200719</v>
      </c>
      <c r="G18" s="3" t="n">
        <v>19228</v>
      </c>
      <c r="H18" s="3" t="n">
        <v>5936</v>
      </c>
      <c r="I18" s="3" t="n">
        <v>100048</v>
      </c>
      <c r="J18" s="3" t="n">
        <v>27235</v>
      </c>
      <c r="K18" s="3" t="n">
        <v>40005</v>
      </c>
    </row>
    <row r="19">
      <c r="A19" t="n">
        <v>17</v>
      </c>
      <c r="B19" s="4" t="inlineStr">
        <is>
          <t>TOTAL ASSETS</t>
        </is>
      </c>
      <c r="C19" s="5" t="n">
        <v>70734</v>
      </c>
      <c r="D19" s="5" t="n">
        <v>11825140</v>
      </c>
      <c r="E19" s="5" t="n">
        <v>5052927</v>
      </c>
      <c r="F19" s="5" t="n">
        <v>8835804</v>
      </c>
      <c r="G19" s="5" t="n">
        <v>28607257</v>
      </c>
      <c r="H19" s="5" t="n">
        <v>17314978</v>
      </c>
      <c r="I19" s="5" t="n">
        <v>8705040</v>
      </c>
      <c r="J19" s="5" t="n">
        <v>17352778</v>
      </c>
      <c r="K19" s="5" t="n">
        <v>14090572</v>
      </c>
    </row>
    <row r="20">
      <c r="A20" t="n">
        <v>18</v>
      </c>
      <c r="B20" t="inlineStr">
        <is>
          <t>Loss &amp; LAE reserves</t>
        </is>
      </c>
      <c r="C20" s="3" t="n">
        <v>29369</v>
      </c>
      <c r="D20" s="3" t="n">
        <v>5906322</v>
      </c>
      <c r="E20" s="3" t="n">
        <v>2862375</v>
      </c>
      <c r="F20" s="3" t="n">
        <v>4356092</v>
      </c>
      <c r="G20" s="3" t="n">
        <v>0</v>
      </c>
      <c r="H20" s="3" t="n">
        <v>9371116</v>
      </c>
      <c r="I20" s="3" t="n">
        <v>0</v>
      </c>
      <c r="J20" s="3" t="n">
        <v>8181824</v>
      </c>
      <c r="K20" s="3" t="n">
        <v>5275379</v>
      </c>
    </row>
    <row r="21">
      <c r="A21" t="n">
        <v>19</v>
      </c>
      <c r="B21" t="inlineStr">
        <is>
          <t>Unearned premiums</t>
        </is>
      </c>
      <c r="C21" s="3" t="n">
        <v>10218</v>
      </c>
      <c r="D21" s="3" t="n">
        <v>2426251</v>
      </c>
      <c r="E21" s="3" t="n">
        <v>582740</v>
      </c>
      <c r="F21" s="3" t="n">
        <v>978975</v>
      </c>
      <c r="G21" s="3" t="n">
        <v>1481834</v>
      </c>
      <c r="H21" s="3" t="n">
        <v>2431245</v>
      </c>
      <c r="I21" s="3" t="n">
        <v>0</v>
      </c>
      <c r="J21" s="3" t="n">
        <v>2836850</v>
      </c>
      <c r="K21" s="3" t="n">
        <v>999095</v>
      </c>
    </row>
    <row r="22">
      <c r="A22" t="n">
        <v>20</v>
      </c>
      <c r="B22" t="inlineStr">
        <is>
          <t>Insurance &amp; reinsurance payables</t>
        </is>
      </c>
      <c r="C22" s="3" t="n">
        <v>2137</v>
      </c>
      <c r="D22" s="3" t="n">
        <v>486393</v>
      </c>
      <c r="E22" s="3" t="n">
        <v>423985</v>
      </c>
      <c r="F22" s="3" t="n">
        <v>239396</v>
      </c>
      <c r="G22" s="3" t="n">
        <v>4158618</v>
      </c>
      <c r="H22" s="3" t="n">
        <v>752633</v>
      </c>
      <c r="I22" s="3" t="n">
        <v>0</v>
      </c>
      <c r="J22" s="3" t="n">
        <v>2084373</v>
      </c>
      <c r="K22" s="3" t="n">
        <v>239024</v>
      </c>
    </row>
    <row r="23">
      <c r="A23" t="n">
        <v>21</v>
      </c>
      <c r="B23" t="inlineStr">
        <is>
          <t>Funds held under reinsurance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t="n">
        <v>22</v>
      </c>
      <c r="B24" t="inlineStr">
        <is>
          <t>Debt / senior notes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t="n">
        <v>23</v>
      </c>
      <c r="B25" t="inlineStr">
        <is>
          <t>Deferred tax liabilities</t>
        </is>
      </c>
      <c r="C25" s="3" t="n">
        <v>0</v>
      </c>
      <c r="D25" s="3" t="n">
        <v>114107</v>
      </c>
      <c r="E25" s="3" t="n">
        <v>0</v>
      </c>
      <c r="F25" s="3" t="n">
        <v>0</v>
      </c>
      <c r="G25" s="3" t="n">
        <v>22986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t="n">
        <v>24</v>
      </c>
      <c r="B26" t="inlineStr">
        <is>
          <t>Other liabilities</t>
        </is>
      </c>
      <c r="C26" s="3" t="n">
        <v>2975</v>
      </c>
      <c r="D26" s="3" t="n">
        <v>195390</v>
      </c>
      <c r="E26" s="3" t="n">
        <v>28579</v>
      </c>
      <c r="F26" s="3" t="n">
        <v>74231</v>
      </c>
      <c r="G26" s="3" t="n">
        <v>0</v>
      </c>
      <c r="H26" s="3" t="n">
        <v>6270</v>
      </c>
      <c r="I26" s="3" t="n">
        <v>375164</v>
      </c>
      <c r="J26" s="3" t="n">
        <v>11161</v>
      </c>
      <c r="K26" s="3" t="n">
        <v>0</v>
      </c>
    </row>
    <row r="27">
      <c r="A27" t="n">
        <v>25</v>
      </c>
      <c r="B27" s="4" t="inlineStr">
        <is>
          <t>TOTAL LIABILITIES</t>
        </is>
      </c>
      <c r="C27" s="5" t="n">
        <v>48735</v>
      </c>
      <c r="D27" s="5" t="n">
        <v>9153475</v>
      </c>
      <c r="E27" s="5" t="n">
        <v>3930064</v>
      </c>
      <c r="F27" s="5" t="n">
        <v>5668110</v>
      </c>
      <c r="G27" s="5" t="n">
        <v>15333530</v>
      </c>
      <c r="H27" s="5" t="n">
        <v>12991805</v>
      </c>
      <c r="I27" s="5" t="n">
        <v>6290675</v>
      </c>
      <c r="J27" s="5" t="n">
        <v>13227857</v>
      </c>
      <c r="K27" s="5" t="n">
        <v>8490355</v>
      </c>
    </row>
    <row r="28">
      <c r="A28" t="n">
        <v>26</v>
      </c>
      <c r="B28" t="inlineStr">
        <is>
          <t>Share capital</t>
        </is>
      </c>
      <c r="C28" s="3" t="n">
        <v>3</v>
      </c>
      <c r="D28" s="3" t="n">
        <v>1000</v>
      </c>
      <c r="E28" s="3" t="n">
        <v>1</v>
      </c>
      <c r="F28" s="3" t="n">
        <v>1200</v>
      </c>
      <c r="G28" s="3" t="n">
        <v>10</v>
      </c>
      <c r="H28" s="3" t="n">
        <v>1</v>
      </c>
      <c r="I28" s="3" t="n">
        <v>58829</v>
      </c>
      <c r="J28" s="3" t="n">
        <v>0</v>
      </c>
      <c r="K28" s="3" t="n">
        <v>3000</v>
      </c>
    </row>
    <row r="29">
      <c r="A29" t="n">
        <v>27</v>
      </c>
      <c r="B29" t="inlineStr">
        <is>
          <t>Additional paid-in capital</t>
        </is>
      </c>
      <c r="C29" s="3" t="n">
        <v>6349</v>
      </c>
      <c r="D29" s="3" t="n">
        <v>1940759</v>
      </c>
      <c r="E29" s="3" t="n">
        <v>1329000</v>
      </c>
      <c r="F29" s="3" t="n">
        <v>2114237</v>
      </c>
      <c r="G29" s="3" t="n">
        <v>3746935</v>
      </c>
      <c r="H29" s="3" t="n">
        <v>1332529</v>
      </c>
      <c r="I29" s="3" t="n">
        <v>1217589</v>
      </c>
      <c r="J29" s="3" t="n">
        <v>3067188</v>
      </c>
      <c r="K29" s="3" t="n">
        <v>1643886</v>
      </c>
    </row>
    <row r="30">
      <c r="A30" t="n">
        <v>28</v>
      </c>
      <c r="B30" t="inlineStr">
        <is>
          <t>Retained earnings</t>
        </is>
      </c>
      <c r="C30" s="3" t="n">
        <v>16255</v>
      </c>
      <c r="D30" s="3" t="n">
        <v>748894</v>
      </c>
      <c r="E30" s="3" t="n">
        <v>-144417</v>
      </c>
      <c r="F30" s="3" t="n">
        <v>1108897</v>
      </c>
      <c r="G30" s="3" t="n">
        <v>8963064</v>
      </c>
      <c r="H30" s="3" t="n">
        <v>3453707</v>
      </c>
      <c r="I30" s="3" t="n">
        <v>1130101</v>
      </c>
      <c r="J30" s="3" t="n">
        <v>919625</v>
      </c>
      <c r="K30" s="3" t="n">
        <v>4045020</v>
      </c>
    </row>
    <row r="31">
      <c r="A31" t="n">
        <v>29</v>
      </c>
      <c r="B31" t="inlineStr">
        <is>
          <t>AOCI</t>
        </is>
      </c>
      <c r="C31" s="3" t="n">
        <v>-719</v>
      </c>
      <c r="D31" s="3" t="n">
        <v>-18988</v>
      </c>
      <c r="E31" s="3" t="n">
        <v>-62720</v>
      </c>
      <c r="F31" s="3" t="n">
        <v>-56640</v>
      </c>
      <c r="G31" s="3" t="n">
        <v>-1049941</v>
      </c>
      <c r="H31" s="3" t="n">
        <v>0</v>
      </c>
      <c r="I31" s="3" t="n">
        <v>7846</v>
      </c>
      <c r="J31" s="3" t="n">
        <v>-3193</v>
      </c>
      <c r="K31" s="3" t="n">
        <v>-97565</v>
      </c>
    </row>
    <row r="32">
      <c r="A32" t="n">
        <v>30</v>
      </c>
      <c r="B32" s="4" t="inlineStr">
        <is>
          <t>TOTAL EQUITY</t>
        </is>
      </c>
      <c r="C32" s="5" t="n">
        <v>21999</v>
      </c>
      <c r="D32" s="5" t="n">
        <v>2671665</v>
      </c>
      <c r="E32" s="5" t="n">
        <v>1122863</v>
      </c>
      <c r="F32" s="5" t="n">
        <v>3167694</v>
      </c>
      <c r="G32" s="5" t="n">
        <v>13273727</v>
      </c>
      <c r="H32" s="5" t="n">
        <v>4323172</v>
      </c>
      <c r="I32" s="5" t="n">
        <v>2414365</v>
      </c>
      <c r="J32" s="5" t="n">
        <v>4124921</v>
      </c>
      <c r="K32" s="5" t="n">
        <v>19684913</v>
      </c>
    </row>
    <row r="33">
      <c r="A33" t="n">
        <v>31</v>
      </c>
      <c r="B33" s="4" t="inlineStr">
        <is>
          <t>TOTAL LIABILITIES &amp; EQUITY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6">
      <c r="A36" t="inlineStr">
        <is>
          <t>BALANCE CHECK</t>
        </is>
      </c>
    </row>
    <row r="37">
      <c r="A37" t="inlineStr">
        <is>
          <t>ARCH REINSURANCE LTD. AND SUBSIDIARIES</t>
        </is>
      </c>
      <c r="B37" t="inlineStr">
        <is>
          <t>Status</t>
        </is>
      </c>
      <c r="C37" s="4">
        <f>IF(C19=C27+C32,"BALANCED","IMBALANCE")</f>
        <v/>
      </c>
    </row>
    <row r="38">
      <c r="A38" t="inlineStr">
        <is>
          <t>ASCOT BERMUDA LIMITED</t>
        </is>
      </c>
      <c r="B38" t="inlineStr">
        <is>
          <t>Status</t>
        </is>
      </c>
      <c r="D38" s="4">
        <f>IF(D19=D27+D32,"BALANCED","IMBALANCE")</f>
        <v/>
      </c>
    </row>
    <row r="39">
      <c r="A39" t="inlineStr">
        <is>
          <t>ASPEN BERMUDA LIMITED</t>
        </is>
      </c>
      <c r="B39" t="inlineStr">
        <is>
          <t>Status</t>
        </is>
      </c>
      <c r="E39" s="4">
        <f>IF(E19=E27+E32,"BALANCED","IMBALANCE")</f>
        <v/>
      </c>
    </row>
    <row r="40">
      <c r="A40" t="inlineStr">
        <is>
          <t>AXIS SPECIALTY LIMITED</t>
        </is>
      </c>
      <c r="B40" t="inlineStr">
        <is>
          <t>Status</t>
        </is>
      </c>
      <c r="F40" s="4">
        <f>IF(F19=F27+F32,"BALANCED","IMBALANCE")</f>
        <v/>
      </c>
    </row>
    <row r="41">
      <c r="A41" t="inlineStr">
        <is>
          <t>CHUBB TEMPEST REINSURANCE LTD. AND ITS SUBSIDIARIES</t>
        </is>
      </c>
      <c r="B41" t="inlineStr">
        <is>
          <t>Status</t>
        </is>
      </c>
      <c r="G41" s="4">
        <f>IF(G19=G27+G32,"BALANCED","IMBALANCE")</f>
        <v/>
      </c>
    </row>
    <row r="42">
      <c r="A42" t="inlineStr">
        <is>
          <t>EVEREST REINSURANCE (BERMUDA), LTD.</t>
        </is>
      </c>
      <c r="B42" t="inlineStr">
        <is>
          <t>Status</t>
        </is>
      </c>
      <c r="H42" s="4">
        <f>IF(H19=H27+H32,"BALANCED","IMBALANCE")</f>
        <v/>
      </c>
    </row>
    <row r="43">
      <c r="A43" t="inlineStr">
        <is>
          <t>MARKEL BERMUDA LIMITED</t>
        </is>
      </c>
      <c r="B43" t="inlineStr">
        <is>
          <t>Status</t>
        </is>
      </c>
      <c r="I43" s="4">
        <f>IF(I19=I27+I32,"BALANCED","IMBALANCE")</f>
        <v/>
      </c>
    </row>
    <row r="44">
      <c r="A44" t="inlineStr">
        <is>
          <t>RENAISSANCE REINSURANCE LTD. AND SUBSIDIARIES</t>
        </is>
      </c>
      <c r="B44" t="inlineStr">
        <is>
          <t>Status</t>
        </is>
      </c>
      <c r="J44" s="4">
        <f>IF(J19=J27+J32,"BALANCED","IMBALANCE")</f>
        <v/>
      </c>
    </row>
    <row r="45">
      <c r="A45" t="inlineStr">
        <is>
          <t>Unknown Company</t>
        </is>
      </c>
      <c r="B45" t="inlineStr">
        <is>
          <t>Status</t>
        </is>
      </c>
      <c r="K45" s="4">
        <f>IF(K19=K27+K32,"BALANCED","IMBALANCE")</f>
        <v/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Income Statement - 2024</t>
        </is>
      </c>
    </row>
    <row r="2">
      <c r="A2" s="2" t="inlineStr">
        <is>
          <t>Line #</t>
        </is>
      </c>
      <c r="B2" s="2" t="inlineStr">
        <is>
          <t>Line Item</t>
        </is>
      </c>
      <c r="C2" s="2" t="inlineStr">
        <is>
          <t>ARCH REINSURANCE LTD. AND SUBSIDIARIES</t>
        </is>
      </c>
      <c r="D2" s="2" t="inlineStr">
        <is>
          <t>ASCOT BERMUDA LIMITED</t>
        </is>
      </c>
      <c r="E2" s="2" t="inlineStr">
        <is>
          <t>ASPEN BERMUDA LIMITED</t>
        </is>
      </c>
      <c r="F2" s="2" t="inlineStr">
        <is>
          <t>AXIS SPECIALTY LIMITED</t>
        </is>
      </c>
      <c r="G2" s="2" t="inlineStr">
        <is>
          <t>CHUBB TEMPEST REINSURANCE LTD. AND ITS SUBSIDIARIES</t>
        </is>
      </c>
      <c r="H2" s="2" t="inlineStr">
        <is>
          <t>EVEREST REINSURANCE (BERMUDA), LTD.</t>
        </is>
      </c>
      <c r="I2" s="2" t="inlineStr">
        <is>
          <t>MARKEL BERMUDA LIMITED</t>
        </is>
      </c>
      <c r="J2" s="2" t="inlineStr">
        <is>
          <t>RENAISSANCE REINSURANCE LTD. AND SUBSIDIARIES</t>
        </is>
      </c>
      <c r="K2" s="2" t="inlineStr">
        <is>
          <t>Unknown Company</t>
        </is>
      </c>
    </row>
    <row r="3">
      <c r="A3" t="n">
        <v>1</v>
      </c>
      <c r="B3" t="inlineStr">
        <is>
          <t>Gross premiums written</t>
        </is>
      </c>
      <c r="C3" s="3" t="n">
        <v>0</v>
      </c>
      <c r="D3" s="3" t="n">
        <v>4678460</v>
      </c>
      <c r="E3" s="3" t="n">
        <v>1490905</v>
      </c>
      <c r="F3" s="3" t="n">
        <v>1684533</v>
      </c>
      <c r="G3" s="3" t="n">
        <v>6639399</v>
      </c>
      <c r="H3" s="3" t="n">
        <v>0</v>
      </c>
      <c r="I3" s="3" t="n">
        <v>0</v>
      </c>
      <c r="J3" s="3" t="n">
        <v>4530032</v>
      </c>
      <c r="K3" s="3" t="n">
        <v>4697673</v>
      </c>
    </row>
    <row r="4">
      <c r="A4" t="n">
        <v>2</v>
      </c>
      <c r="B4" t="inlineStr">
        <is>
          <t>Ceded premiums written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t="n">
        <v>3</v>
      </c>
      <c r="B5" s="4" t="inlineStr">
        <is>
          <t>Net premiums written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t="n">
        <v>4</v>
      </c>
      <c r="B6" t="inlineStr">
        <is>
          <t>Change in net unearned premiums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t="n">
        <v>5</v>
      </c>
      <c r="B7" t="inlineStr">
        <is>
          <t>Net premiums earned</t>
        </is>
      </c>
      <c r="C7" s="3" t="n">
        <v>15100</v>
      </c>
      <c r="D7" s="3" t="n">
        <v>3215548</v>
      </c>
      <c r="E7" s="3" t="n">
        <v>990327</v>
      </c>
      <c r="F7" s="3" t="n">
        <v>1277792</v>
      </c>
      <c r="G7" s="3" t="n">
        <v>5776561</v>
      </c>
      <c r="H7" s="3" t="n">
        <v>4079120</v>
      </c>
      <c r="I7" s="3" t="n">
        <v>0</v>
      </c>
      <c r="J7" s="3" t="n">
        <v>2941309</v>
      </c>
      <c r="K7" s="3" t="n">
        <v>4109121</v>
      </c>
    </row>
    <row r="8">
      <c r="A8" t="n">
        <v>6</v>
      </c>
      <c r="B8" t="inlineStr">
        <is>
          <t>Net investment income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t="n">
        <v>7</v>
      </c>
      <c r="B9" t="inlineStr">
        <is>
          <t>Net realized &amp; unrealized gains/losses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t="n">
        <v>8</v>
      </c>
      <c r="B10" t="inlineStr">
        <is>
          <t>Other income</t>
        </is>
      </c>
      <c r="C10" s="3" t="n">
        <v>42</v>
      </c>
      <c r="D10" s="3" t="n">
        <v>23552</v>
      </c>
      <c r="E10" s="3" t="n">
        <v>6241</v>
      </c>
      <c r="F10" s="3" t="n">
        <v>15133</v>
      </c>
      <c r="G10" s="3" t="n">
        <v>891272</v>
      </c>
      <c r="H10" s="3" t="n">
        <v>-60551</v>
      </c>
      <c r="I10" s="3" t="n">
        <v>0</v>
      </c>
      <c r="J10" s="3" t="n">
        <v>1310</v>
      </c>
      <c r="K10" s="3" t="n">
        <v>41503</v>
      </c>
    </row>
    <row r="11">
      <c r="A11" t="n">
        <v>9</v>
      </c>
      <c r="B11" s="4" t="inlineStr">
        <is>
          <t>TOTAL REVENUES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t="n">
        <v>10</v>
      </c>
      <c r="B12" t="inlineStr">
        <is>
          <t>Net losses &amp; LAE incurred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t="n">
        <v>11</v>
      </c>
      <c r="B13" t="inlineStr">
        <is>
          <t>Net acquisition costs</t>
        </is>
      </c>
      <c r="C13" s="3" t="n">
        <v>2651</v>
      </c>
      <c r="D13" s="3" t="n">
        <v>775642</v>
      </c>
      <c r="E13" s="3" t="n">
        <v>0</v>
      </c>
      <c r="F13" s="3" t="n">
        <v>432023</v>
      </c>
      <c r="G13" s="3" t="n">
        <v>1105844</v>
      </c>
      <c r="H13" s="3" t="n">
        <v>92899</v>
      </c>
      <c r="I13" s="3" t="n">
        <v>405244</v>
      </c>
      <c r="J13" s="3" t="n">
        <v>864303</v>
      </c>
      <c r="K13" s="3" t="n">
        <v>792215</v>
      </c>
    </row>
    <row r="14">
      <c r="A14" t="n">
        <v>12</v>
      </c>
      <c r="B14" t="inlineStr">
        <is>
          <t>General &amp; administrative expenses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t="n">
        <v>13</v>
      </c>
      <c r="B15" s="4" t="inlineStr">
        <is>
          <t>Total underwriting expenses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t="n">
        <v>14</v>
      </c>
      <c r="B16" t="inlineStr">
        <is>
          <t>Interest expense</t>
        </is>
      </c>
      <c r="C16" s="3" t="n">
        <v>82</v>
      </c>
      <c r="D16" s="3" t="n">
        <v>0</v>
      </c>
      <c r="E16" s="3" t="n">
        <v>0</v>
      </c>
      <c r="F16" s="3" t="n">
        <v>1270</v>
      </c>
      <c r="G16" s="3" t="n">
        <v>7503</v>
      </c>
      <c r="H16" s="3" t="n">
        <v>0</v>
      </c>
      <c r="I16" s="3" t="n">
        <v>548</v>
      </c>
      <c r="J16" s="3" t="n">
        <v>0</v>
      </c>
      <c r="K16" s="3" t="n">
        <v>0</v>
      </c>
    </row>
    <row r="17">
      <c r="A17" t="n">
        <v>15</v>
      </c>
      <c r="B17" t="inlineStr">
        <is>
          <t>Other expenses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t="n">
        <v>16</v>
      </c>
      <c r="B18" s="4" t="inlineStr">
        <is>
          <t>Total expenses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n">
        <v>17</v>
      </c>
      <c r="B19" s="4" t="inlineStr">
        <is>
          <t>Income before tax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t="n">
        <v>18</v>
      </c>
      <c r="B20" t="inlineStr">
        <is>
          <t>Income tax expense</t>
        </is>
      </c>
      <c r="C20" s="3" t="n">
        <v>361</v>
      </c>
      <c r="D20" s="3" t="n">
        <v>-73705</v>
      </c>
      <c r="E20" s="3" t="n">
        <v>0</v>
      </c>
      <c r="F20" s="3" t="n">
        <v>167116</v>
      </c>
      <c r="G20" s="3" t="n">
        <v>-4129</v>
      </c>
      <c r="H20" s="3" t="n">
        <v>18391</v>
      </c>
      <c r="I20" s="3" t="n">
        <v>160027</v>
      </c>
      <c r="J20" s="3" t="n">
        <v>1701</v>
      </c>
      <c r="K20" s="3" t="n">
        <v>-10264</v>
      </c>
    </row>
    <row r="21">
      <c r="A21" t="n">
        <v>19</v>
      </c>
      <c r="B21" s="4" t="inlineStr">
        <is>
          <t>Net income</t>
        </is>
      </c>
      <c r="C21" s="5" t="n">
        <v>4484</v>
      </c>
      <c r="D21" s="5" t="n">
        <v>463817</v>
      </c>
      <c r="E21" s="5" t="n">
        <v>240783</v>
      </c>
      <c r="F21" s="5" t="n">
        <v>509739</v>
      </c>
      <c r="G21" s="5" t="n">
        <v>3198823</v>
      </c>
      <c r="H21" s="5" t="n">
        <v>14479</v>
      </c>
      <c r="I21" s="5" t="n">
        <v>2182</v>
      </c>
      <c r="J21" s="5" t="n">
        <v>948826</v>
      </c>
      <c r="K21" s="5" t="n">
        <v>1395212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Cash Flows - 2024</t>
        </is>
      </c>
    </row>
    <row r="2">
      <c r="A2" s="2" t="inlineStr">
        <is>
          <t>Line #</t>
        </is>
      </c>
      <c r="B2" s="2" t="inlineStr">
        <is>
          <t>Line Item</t>
        </is>
      </c>
      <c r="C2" s="2" t="inlineStr">
        <is>
          <t>ARCH REINSURANCE LTD. AND SUBSIDIARIES</t>
        </is>
      </c>
      <c r="D2" s="2" t="inlineStr">
        <is>
          <t>ASCOT BERMUDA LIMITED</t>
        </is>
      </c>
      <c r="E2" s="2" t="inlineStr">
        <is>
          <t>ASPEN BERMUDA LIMITED</t>
        </is>
      </c>
      <c r="F2" s="2" t="inlineStr">
        <is>
          <t>AXIS SPECIALTY LIMITED</t>
        </is>
      </c>
      <c r="G2" s="2" t="inlineStr">
        <is>
          <t>CHUBB TEMPEST REINSURANCE LTD. AND ITS SUBSIDIARIES</t>
        </is>
      </c>
      <c r="H2" s="2" t="inlineStr">
        <is>
          <t>EVEREST REINSURANCE (BERMUDA), LTD.</t>
        </is>
      </c>
      <c r="I2" s="2" t="inlineStr">
        <is>
          <t>MARKEL BERMUDA LIMITED</t>
        </is>
      </c>
      <c r="J2" s="2" t="inlineStr">
        <is>
          <t>RENAISSANCE REINSURANCE LTD. AND SUBSIDIARIES</t>
        </is>
      </c>
      <c r="K2" s="2" t="inlineStr">
        <is>
          <t>Unknown Company</t>
        </is>
      </c>
    </row>
    <row r="3">
      <c r="A3" t="n">
        <v>1</v>
      </c>
      <c r="B3" t="inlineStr">
        <is>
          <t>Net income</t>
        </is>
      </c>
      <c r="C3" s="3" t="n">
        <v>4485</v>
      </c>
      <c r="D3" s="3" t="n">
        <v>463817</v>
      </c>
      <c r="E3" s="3" t="n">
        <v>233476</v>
      </c>
      <c r="F3" s="3" t="n">
        <v>509739</v>
      </c>
      <c r="G3" s="3" t="n">
        <v>-890239</v>
      </c>
      <c r="H3" s="3" t="n">
        <v>889768</v>
      </c>
      <c r="I3" s="3" t="n">
        <v>614057</v>
      </c>
      <c r="J3" s="3" t="n">
        <v>0</v>
      </c>
      <c r="K3" s="3" t="n">
        <v>1394336</v>
      </c>
    </row>
    <row r="4">
      <c r="A4" t="n">
        <v>2</v>
      </c>
      <c r="B4" t="inlineStr">
        <is>
          <t>Depreciation &amp; amortization</t>
        </is>
      </c>
      <c r="C4" s="3" t="n">
        <v>0</v>
      </c>
      <c r="D4" s="3" t="n">
        <v>0</v>
      </c>
      <c r="E4" s="3" t="n">
        <v>0</v>
      </c>
      <c r="F4" s="3" t="n">
        <v>1514</v>
      </c>
      <c r="G4" s="3" t="n">
        <v>0</v>
      </c>
      <c r="H4" s="3" t="n">
        <v>0</v>
      </c>
      <c r="I4" s="3" t="n">
        <v>0</v>
      </c>
      <c r="J4" s="3" t="n">
        <v>195428</v>
      </c>
      <c r="K4" s="3" t="n">
        <v>-27989</v>
      </c>
    </row>
    <row r="5">
      <c r="A5" t="n">
        <v>3</v>
      </c>
      <c r="B5" t="inlineStr">
        <is>
          <t>Gains/losses on investments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t="n">
        <v>4</v>
      </c>
      <c r="B6" t="inlineStr">
        <is>
          <t>Changes in working capital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t="n">
        <v>5</v>
      </c>
      <c r="B7" t="inlineStr">
        <is>
          <t>Other operating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t="n">
        <v>11</v>
      </c>
      <c r="B8" s="4" t="inlineStr">
        <is>
          <t>NET CASH FROM OPERATIONS</t>
        </is>
      </c>
      <c r="C8" s="5" t="n">
        <v>6789</v>
      </c>
      <c r="D8" s="5" t="n">
        <v>1441135</v>
      </c>
      <c r="E8" s="5" t="n">
        <v>-20884</v>
      </c>
      <c r="F8" s="5" t="n">
        <v>275941</v>
      </c>
      <c r="G8" s="5" t="n">
        <v>3918752</v>
      </c>
      <c r="H8" s="5" t="n">
        <v>1380260</v>
      </c>
      <c r="I8" s="5" t="n">
        <v>47537</v>
      </c>
      <c r="J8" s="5" t="n">
        <v>1154569</v>
      </c>
      <c r="K8" s="5" t="n">
        <v>1410017</v>
      </c>
    </row>
    <row r="9">
      <c r="A9" t="n">
        <v>12</v>
      </c>
      <c r="B9" t="inlineStr">
        <is>
          <t>Purchases of investments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t="n">
        <v>13</v>
      </c>
      <c r="B10" t="inlineStr">
        <is>
          <t>Proceeds from sales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t="n">
        <v>14</v>
      </c>
      <c r="B11" t="inlineStr">
        <is>
          <t>Other investing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t="n">
        <v>18</v>
      </c>
      <c r="B12" s="4" t="inlineStr">
        <is>
          <t>NET CASH FROM INVESTING</t>
        </is>
      </c>
      <c r="C12" s="5" t="n">
        <v>-3978</v>
      </c>
      <c r="D12" s="5" t="n">
        <v>-1430576</v>
      </c>
      <c r="E12" s="5" t="n">
        <v>181202</v>
      </c>
      <c r="F12" s="5" t="n">
        <v>724571</v>
      </c>
      <c r="G12" s="5" t="n">
        <v>-2809503</v>
      </c>
      <c r="H12" s="5" t="n">
        <v>-559473</v>
      </c>
      <c r="I12" s="5" t="n">
        <v>15490</v>
      </c>
      <c r="J12" s="5" t="n">
        <v>-1088564</v>
      </c>
      <c r="K12" s="5" t="n">
        <v>-1009048</v>
      </c>
    </row>
    <row r="13">
      <c r="A13" t="n">
        <v>19</v>
      </c>
      <c r="B13" t="inlineStr">
        <is>
          <t>Capital contributions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t="n">
        <v>20</v>
      </c>
      <c r="B14" t="inlineStr">
        <is>
          <t>Dividends paid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t="n">
        <v>21</v>
      </c>
      <c r="B15" t="inlineStr">
        <is>
          <t>Debt activity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t="n">
        <v>24</v>
      </c>
      <c r="B16" s="4" t="inlineStr">
        <is>
          <t>NET CASH FROM FINANCING</t>
        </is>
      </c>
      <c r="C16" s="5" t="n">
        <v>-2533</v>
      </c>
      <c r="D16" s="5" t="n">
        <v>880</v>
      </c>
      <c r="E16" s="5" t="n">
        <v>-275000</v>
      </c>
      <c r="F16" s="5" t="n">
        <v>-304504</v>
      </c>
      <c r="G16" s="5" t="n">
        <v>-1627669</v>
      </c>
      <c r="H16" s="5" t="n">
        <v>-800000</v>
      </c>
      <c r="I16" s="5" t="n">
        <v>-102648</v>
      </c>
      <c r="J16" s="5" t="n">
        <v>-246114</v>
      </c>
      <c r="K16" s="5" t="n">
        <v>-395000</v>
      </c>
    </row>
    <row r="17">
      <c r="A17" t="n">
        <v>25</v>
      </c>
      <c r="B17" t="inlineStr">
        <is>
          <t>Effect of FX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t="n">
        <v>26</v>
      </c>
      <c r="B18" s="4" t="inlineStr">
        <is>
          <t>NET CHANGE IN CASH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n">
        <v>27</v>
      </c>
      <c r="B19" t="inlineStr">
        <is>
          <t>Cash - beginning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t="n">
        <v>28</v>
      </c>
      <c r="B20" s="4" t="inlineStr">
        <is>
          <t>Cash - end of year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2026-03-07T14:49:40Z</dcterms:created>
  <dcterms:modified xsi:type="dcterms:W3CDTF">2026-03-07T14:49:40Z</dcterms:modified>
</cp:coreProperties>
</file>