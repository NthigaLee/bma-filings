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Income Statement" sheetId="2" state="visible" r:id="rId2"/>
    <sheet name="Cash Fl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3" fontId="0" fillId="0" borderId="0" pivotButton="0" quotePrefix="0" xfId="0"/>
    <xf numFmtId="0" fontId="3" fillId="0" borderId="0" pivotButton="0" quotePrefix="0" xfId="0"/>
    <xf numFmtId="3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5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 ht="22" customHeight="1">
      <c r="A1" s="1" t="inlineStr">
        <is>
          <t>Balance Sheet - 2023</t>
        </is>
      </c>
    </row>
    <row r="2">
      <c r="A2" s="2" t="inlineStr">
        <is>
          <t>Line #</t>
        </is>
      </c>
      <c r="B2" s="2" t="inlineStr">
        <is>
          <t>Line Item</t>
        </is>
      </c>
      <c r="C2" s="2" t="inlineStr">
        <is>
          <t>ARCH REINSURANCE LTD. AND SUBSIDIARIES</t>
        </is>
      </c>
      <c r="D2" s="2" t="inlineStr">
        <is>
          <t>ASCOT BERMUDA LIMITED</t>
        </is>
      </c>
      <c r="E2" s="2" t="inlineStr">
        <is>
          <t>ASPEN BERMUDA LIMITED</t>
        </is>
      </c>
      <c r="F2" s="2" t="inlineStr">
        <is>
          <t>AXIS SPECIALTY LIMITED</t>
        </is>
      </c>
      <c r="G2" s="2" t="inlineStr">
        <is>
          <t>CHUBB TEMPEST REINSURANCE LTD. AND ITS SUBSIDIARIES</t>
        </is>
      </c>
      <c r="H2" s="2" t="inlineStr">
        <is>
          <t>EVEREST REINSURANCE (BERMUDA), LTD.</t>
        </is>
      </c>
      <c r="I2" s="2" t="inlineStr">
        <is>
          <t>MARKEL BERMUDA LIMITED</t>
        </is>
      </c>
      <c r="J2" s="2" t="inlineStr">
        <is>
          <t>RENAISSANCE REINSURANCE LTD. AND SUBSIDIARIES</t>
        </is>
      </c>
      <c r="K2" s="2" t="inlineStr">
        <is>
          <t>Unknown Company</t>
        </is>
      </c>
    </row>
    <row r="3">
      <c r="A3" t="n">
        <v>1</v>
      </c>
      <c r="B3" t="inlineStr">
        <is>
          <t>Fixed maturities</t>
        </is>
      </c>
      <c r="C3" s="3" t="n">
        <v>24131</v>
      </c>
      <c r="D3" s="3" t="n">
        <v>0</v>
      </c>
      <c r="E3" s="3" t="n">
        <v>0</v>
      </c>
      <c r="F3" s="3" t="n">
        <v>383164</v>
      </c>
      <c r="G3" s="3" t="n">
        <v>0</v>
      </c>
      <c r="H3" s="3" t="n">
        <v>4546</v>
      </c>
      <c r="I3" s="3" t="n">
        <v>0</v>
      </c>
      <c r="J3" s="3" t="n">
        <v>0</v>
      </c>
      <c r="K3" s="3" t="n">
        <v>4641933</v>
      </c>
    </row>
    <row r="4">
      <c r="A4" t="n">
        <v>2</v>
      </c>
      <c r="B4" t="inlineStr">
        <is>
          <t>Equity securities</t>
        </is>
      </c>
      <c r="C4" s="3" t="n">
        <v>1186</v>
      </c>
      <c r="D4" s="3" t="n">
        <v>0</v>
      </c>
      <c r="E4" s="3" t="n">
        <v>16447</v>
      </c>
      <c r="F4" s="3" t="n">
        <v>102977</v>
      </c>
      <c r="G4" s="3" t="n">
        <v>41201</v>
      </c>
      <c r="H4" s="3" t="n">
        <v>8693</v>
      </c>
      <c r="I4" s="3" t="n">
        <v>0</v>
      </c>
      <c r="J4" s="3" t="n">
        <v>0</v>
      </c>
      <c r="K4" s="3" t="n">
        <v>868465</v>
      </c>
    </row>
    <row r="5">
      <c r="A5" t="n">
        <v>3</v>
      </c>
      <c r="B5" t="inlineStr">
        <is>
          <t>Short-term investments</t>
        </is>
      </c>
      <c r="C5" s="3" t="n">
        <v>0</v>
      </c>
      <c r="D5" s="3" t="n">
        <v>115053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31</v>
      </c>
      <c r="K5" s="3" t="n">
        <v>306464</v>
      </c>
    </row>
    <row r="6">
      <c r="A6" t="n">
        <v>4</v>
      </c>
      <c r="B6" t="inlineStr">
        <is>
          <t>Other investments</t>
        </is>
      </c>
      <c r="C6" s="3" t="n">
        <v>2488</v>
      </c>
      <c r="D6" s="3" t="n">
        <v>260479</v>
      </c>
      <c r="E6" s="3" t="n">
        <v>117269</v>
      </c>
      <c r="F6" s="3" t="n">
        <v>455067</v>
      </c>
      <c r="G6" s="3" t="n">
        <v>0</v>
      </c>
      <c r="H6" s="3" t="n">
        <v>1230836</v>
      </c>
      <c r="I6" s="3" t="n">
        <v>0</v>
      </c>
      <c r="J6" s="3" t="n">
        <v>26491</v>
      </c>
      <c r="K6" s="3" t="n">
        <v>1843722</v>
      </c>
    </row>
    <row r="7">
      <c r="A7" t="n">
        <v>5</v>
      </c>
      <c r="B7" t="inlineStr">
        <is>
          <t>Equity method investments</t>
        </is>
      </c>
      <c r="C7" s="3" t="n">
        <v>1115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2094342</v>
      </c>
      <c r="K7" s="3" t="n">
        <v>0</v>
      </c>
    </row>
    <row r="8">
      <c r="A8" t="n">
        <v>6</v>
      </c>
      <c r="B8" s="4" t="inlineStr">
        <is>
          <t>TOTAL INVESTMENTS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t="n">
        <v>7</v>
      </c>
      <c r="B9" t="inlineStr">
        <is>
          <t>Cash and cash equivalents</t>
        </is>
      </c>
      <c r="C9" s="3" t="n">
        <v>883</v>
      </c>
      <c r="D9" s="3" t="n">
        <v>441996</v>
      </c>
      <c r="E9" s="3" t="n">
        <v>189.1</v>
      </c>
      <c r="F9" s="3" t="n">
        <v>152011</v>
      </c>
      <c r="G9" s="3" t="n">
        <v>0</v>
      </c>
      <c r="H9" s="3" t="n">
        <v>379725</v>
      </c>
      <c r="I9" s="3" t="n">
        <v>297725</v>
      </c>
      <c r="J9" s="3" t="n">
        <v>704419</v>
      </c>
      <c r="K9" s="3" t="n">
        <v>335432</v>
      </c>
    </row>
    <row r="10">
      <c r="A10" t="n">
        <v>8</v>
      </c>
      <c r="B10" t="inlineStr">
        <is>
          <t>Restricted cash</t>
        </is>
      </c>
      <c r="C10" s="3" t="n">
        <v>0</v>
      </c>
      <c r="D10" s="3" t="n">
        <v>107318</v>
      </c>
      <c r="E10" s="3" t="n">
        <v>0</v>
      </c>
      <c r="F10" s="3" t="n">
        <v>60047</v>
      </c>
      <c r="G10" s="3" t="n">
        <v>765613</v>
      </c>
      <c r="H10" s="3" t="n">
        <v>0</v>
      </c>
      <c r="I10" s="3" t="n">
        <v>69670</v>
      </c>
      <c r="J10" s="3" t="n">
        <v>0</v>
      </c>
      <c r="K10" s="3" t="n">
        <v>0</v>
      </c>
    </row>
    <row r="11">
      <c r="A11" t="n">
        <v>9</v>
      </c>
      <c r="B11" t="inlineStr">
        <is>
          <t>Premiums receivable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</row>
    <row r="12">
      <c r="A12" t="n">
        <v>10</v>
      </c>
      <c r="B12" t="inlineStr">
        <is>
          <t>Reinsurance recoverables</t>
        </is>
      </c>
      <c r="C12" s="3" t="n">
        <v>0</v>
      </c>
      <c r="D12" s="3" t="n">
        <v>1337575</v>
      </c>
      <c r="E12" s="3" t="n">
        <v>0</v>
      </c>
      <c r="F12" s="3" t="n">
        <v>51993</v>
      </c>
      <c r="G12" s="3" t="n">
        <v>1304816</v>
      </c>
      <c r="H12" s="3" t="n">
        <v>2005638</v>
      </c>
      <c r="I12" s="3" t="n">
        <v>1269589</v>
      </c>
      <c r="J12" s="3" t="n">
        <v>3534821</v>
      </c>
      <c r="K12" s="3" t="n">
        <v>781246</v>
      </c>
    </row>
    <row r="13">
      <c r="A13" t="n">
        <v>11</v>
      </c>
      <c r="B13" t="inlineStr">
        <is>
          <t>Prepaid reinsurance premiums</t>
        </is>
      </c>
      <c r="C13" s="3" t="n">
        <v>2170</v>
      </c>
      <c r="D13" s="3" t="n">
        <v>427471</v>
      </c>
      <c r="E13" s="3" t="n">
        <v>144813</v>
      </c>
      <c r="F13" s="3" t="n">
        <v>195885</v>
      </c>
      <c r="G13" s="3" t="n">
        <v>240063</v>
      </c>
      <c r="H13" s="3" t="n">
        <v>760725</v>
      </c>
      <c r="I13" s="3" t="n">
        <v>362130</v>
      </c>
      <c r="J13" s="3" t="n">
        <v>832893</v>
      </c>
      <c r="K13" s="3" t="n">
        <v>13532</v>
      </c>
    </row>
    <row r="14">
      <c r="A14" t="n">
        <v>12</v>
      </c>
      <c r="B14" t="inlineStr">
        <is>
          <t>Accrued investment income</t>
        </is>
      </c>
      <c r="C14" s="3" t="n">
        <v>0</v>
      </c>
      <c r="D14" s="3" t="n">
        <v>0</v>
      </c>
      <c r="E14" s="3" t="n">
        <v>0</v>
      </c>
      <c r="F14" s="3" t="n">
        <v>35390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</row>
    <row r="15">
      <c r="A15" t="n">
        <v>13</v>
      </c>
      <c r="B15" t="inlineStr">
        <is>
          <t>Deferred acquisition costs</t>
        </is>
      </c>
      <c r="C15" s="3" t="n">
        <v>1531</v>
      </c>
      <c r="D15" s="3" t="n">
        <v>344641</v>
      </c>
      <c r="E15" s="3" t="n">
        <v>79176</v>
      </c>
      <c r="F15" s="3" t="n">
        <v>132230</v>
      </c>
      <c r="G15" s="3" t="n">
        <v>486728</v>
      </c>
      <c r="H15" s="3" t="n">
        <v>349693</v>
      </c>
      <c r="I15" s="3" t="n">
        <v>159820</v>
      </c>
      <c r="J15" s="3" t="n">
        <v>734850</v>
      </c>
      <c r="K15" s="3" t="n">
        <v>433852</v>
      </c>
    </row>
    <row r="16">
      <c r="A16" t="n">
        <v>14</v>
      </c>
      <c r="B16" t="inlineStr">
        <is>
          <t>Deferred tax assets</t>
        </is>
      </c>
      <c r="C16" s="3" t="n">
        <v>0</v>
      </c>
      <c r="D16" s="3" t="n">
        <v>116612</v>
      </c>
      <c r="E16" s="3" t="n">
        <v>148047</v>
      </c>
      <c r="F16" s="3" t="n">
        <v>0</v>
      </c>
      <c r="G16" s="3" t="n">
        <v>832208</v>
      </c>
      <c r="H16" s="3" t="n">
        <v>0</v>
      </c>
      <c r="I16" s="3" t="n">
        <v>0</v>
      </c>
      <c r="J16" s="3" t="n">
        <v>438602</v>
      </c>
      <c r="K16" s="3" t="n">
        <v>0</v>
      </c>
    </row>
    <row r="17">
      <c r="A17" t="n">
        <v>15</v>
      </c>
      <c r="B17" t="inlineStr">
        <is>
          <t>Intangible assets &amp; goodwill</t>
        </is>
      </c>
      <c r="C17" s="3" t="n">
        <v>731</v>
      </c>
      <c r="D17" s="3" t="n">
        <v>158245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310649</v>
      </c>
      <c r="K17" s="3" t="n">
        <v>63349</v>
      </c>
    </row>
    <row r="18">
      <c r="A18" t="n">
        <v>16</v>
      </c>
      <c r="B18" t="inlineStr">
        <is>
          <t>Other assets</t>
        </is>
      </c>
      <c r="C18" s="3" t="n">
        <v>4691</v>
      </c>
      <c r="D18" s="3" t="n">
        <v>121167</v>
      </c>
      <c r="E18" s="3" t="n">
        <v>28350</v>
      </c>
      <c r="F18" s="3" t="n">
        <v>28839</v>
      </c>
      <c r="G18" s="3" t="n">
        <v>24081</v>
      </c>
      <c r="H18" s="3" t="n">
        <v>36144</v>
      </c>
      <c r="I18" s="3" t="n">
        <v>137981</v>
      </c>
      <c r="J18" s="3" t="n">
        <v>31753</v>
      </c>
      <c r="K18" s="3" t="n">
        <v>48254</v>
      </c>
    </row>
    <row r="19">
      <c r="A19" t="n">
        <v>17</v>
      </c>
      <c r="B19" s="4" t="inlineStr">
        <is>
          <t>TOTAL ASSETS</t>
        </is>
      </c>
      <c r="C19" s="5" t="n">
        <v>58762</v>
      </c>
      <c r="D19" s="5" t="n">
        <v>9557171</v>
      </c>
      <c r="E19" s="5" t="n">
        <v>5552327</v>
      </c>
      <c r="F19" s="5" t="n">
        <v>8570519</v>
      </c>
      <c r="G19" s="5" t="n">
        <v>25586135</v>
      </c>
      <c r="H19" s="5" t="n">
        <v>15524068</v>
      </c>
      <c r="I19" s="5" t="n">
        <v>8165609</v>
      </c>
      <c r="J19" s="5" t="n">
        <v>19412125</v>
      </c>
      <c r="K19" s="5" t="n">
        <v>13527730</v>
      </c>
    </row>
    <row r="20">
      <c r="A20" t="n">
        <v>18</v>
      </c>
      <c r="B20" t="inlineStr">
        <is>
          <t>Loss &amp; LAE reserves</t>
        </is>
      </c>
      <c r="C20" s="3" t="n">
        <v>22752</v>
      </c>
      <c r="D20" s="3" t="n">
        <v>4665686</v>
      </c>
      <c r="E20" s="3" t="n">
        <v>2922413</v>
      </c>
      <c r="F20" s="3" t="n">
        <v>4383807</v>
      </c>
      <c r="G20" s="3" t="n">
        <v>0</v>
      </c>
      <c r="H20" s="3" t="n">
        <v>8199343</v>
      </c>
      <c r="I20" s="3" t="n">
        <v>0</v>
      </c>
      <c r="J20" s="3" t="n">
        <v>8680536</v>
      </c>
      <c r="K20" s="3" t="n">
        <v>5242912</v>
      </c>
    </row>
    <row r="21">
      <c r="A21" t="n">
        <v>19</v>
      </c>
      <c r="B21" t="inlineStr">
        <is>
          <t>Unearned premiums</t>
        </is>
      </c>
      <c r="C21" s="3" t="n">
        <v>8808</v>
      </c>
      <c r="D21" s="3" t="n">
        <v>1988629</v>
      </c>
      <c r="E21" s="3" t="n">
        <v>553853</v>
      </c>
      <c r="F21" s="3" t="n">
        <v>887719</v>
      </c>
      <c r="G21" s="3" t="n">
        <v>1429532</v>
      </c>
      <c r="H21" s="3" t="n">
        <v>2141996</v>
      </c>
      <c r="I21" s="3" t="n">
        <v>0</v>
      </c>
      <c r="J21" s="3" t="n">
        <v>2885915</v>
      </c>
      <c r="K21" s="3" t="n">
        <v>1017464</v>
      </c>
    </row>
    <row r="22">
      <c r="A22" t="n">
        <v>20</v>
      </c>
      <c r="B22" t="inlineStr">
        <is>
          <t>Insurance &amp; reinsurance payables</t>
        </is>
      </c>
      <c r="C22" s="3" t="n">
        <v>2000</v>
      </c>
      <c r="D22" s="3" t="n">
        <v>300804</v>
      </c>
      <c r="E22" s="3" t="n">
        <v>768999</v>
      </c>
      <c r="F22" s="3" t="n">
        <v>219935</v>
      </c>
      <c r="G22" s="3" t="n">
        <v>3801129</v>
      </c>
      <c r="H22" s="3" t="n">
        <v>686510</v>
      </c>
      <c r="I22" s="3" t="n">
        <v>0</v>
      </c>
      <c r="J22" s="3" t="n">
        <v>1744790</v>
      </c>
      <c r="K22" s="3" t="n">
        <v>181538</v>
      </c>
    </row>
    <row r="23">
      <c r="A23" t="n">
        <v>21</v>
      </c>
      <c r="B23" t="inlineStr">
        <is>
          <t>Funds held under reinsurance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</row>
    <row r="24">
      <c r="A24" t="n">
        <v>22</v>
      </c>
      <c r="B24" t="inlineStr">
        <is>
          <t>Debt / senior notes</t>
        </is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</row>
    <row r="25">
      <c r="A25" t="n">
        <v>23</v>
      </c>
      <c r="B25" t="inlineStr">
        <is>
          <t>Deferred tax liabilities</t>
        </is>
      </c>
      <c r="C25" s="3" t="n">
        <v>0</v>
      </c>
      <c r="D25" s="3" t="n">
        <v>98653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</row>
    <row r="26">
      <c r="A26" t="n">
        <v>24</v>
      </c>
      <c r="B26" t="inlineStr">
        <is>
          <t>Other liabilities</t>
        </is>
      </c>
      <c r="C26" s="3" t="n">
        <v>1878</v>
      </c>
      <c r="D26" s="3" t="n">
        <v>241209</v>
      </c>
      <c r="E26" s="3" t="n">
        <v>26530</v>
      </c>
      <c r="F26" s="3" t="n">
        <v>112261</v>
      </c>
      <c r="G26" s="3" t="n">
        <v>0</v>
      </c>
      <c r="H26" s="3" t="n">
        <v>18813</v>
      </c>
      <c r="I26" s="3" t="n">
        <v>278533</v>
      </c>
      <c r="J26" s="3" t="n">
        <v>10109</v>
      </c>
      <c r="K26" s="3" t="n">
        <v>0</v>
      </c>
    </row>
    <row r="27">
      <c r="A27" t="n">
        <v>25</v>
      </c>
      <c r="B27" s="4" t="inlineStr">
        <is>
          <t>TOTAL LIABILITIES</t>
        </is>
      </c>
      <c r="C27" s="5" t="n">
        <v>39201</v>
      </c>
      <c r="D27" s="5" t="n">
        <v>7328893</v>
      </c>
      <c r="E27" s="5" t="n">
        <v>4370247</v>
      </c>
      <c r="F27" s="5" t="n">
        <v>5627770</v>
      </c>
      <c r="G27" s="5" t="n">
        <v>13910330</v>
      </c>
      <c r="H27" s="5" t="n">
        <v>11328755</v>
      </c>
      <c r="I27" s="5" t="n">
        <v>5867456</v>
      </c>
      <c r="J27" s="5" t="n">
        <v>13732594</v>
      </c>
      <c r="K27" s="5" t="n">
        <v>8454153</v>
      </c>
    </row>
    <row r="28">
      <c r="A28" t="n">
        <v>26</v>
      </c>
      <c r="B28" t="inlineStr">
        <is>
          <t>Share capital</t>
        </is>
      </c>
      <c r="C28" s="3" t="n">
        <v>3</v>
      </c>
      <c r="D28" s="3" t="n">
        <v>120</v>
      </c>
      <c r="E28" s="3" t="n">
        <v>1000000</v>
      </c>
      <c r="F28" s="3" t="n">
        <v>1200</v>
      </c>
      <c r="G28" s="3" t="n">
        <v>10000000</v>
      </c>
      <c r="H28" s="3" t="n">
        <v>1.25</v>
      </c>
      <c r="I28" s="3" t="n">
        <v>58829</v>
      </c>
      <c r="J28" s="3" t="n">
        <v>141301000</v>
      </c>
      <c r="K28" s="3" t="n">
        <v>3000</v>
      </c>
    </row>
    <row r="29">
      <c r="A29" t="n">
        <v>27</v>
      </c>
      <c r="B29" t="inlineStr">
        <is>
          <t>Additional paid-in capital</t>
        </is>
      </c>
      <c r="C29" s="3" t="n">
        <v>5819</v>
      </c>
      <c r="D29" s="3" t="n">
        <v>1940759</v>
      </c>
      <c r="E29" s="3" t="n">
        <v>1329000</v>
      </c>
      <c r="F29" s="3" t="n">
        <v>2114237</v>
      </c>
      <c r="G29" s="3" t="n">
        <v>3746935</v>
      </c>
      <c r="H29" s="3" t="n">
        <v>1332529</v>
      </c>
      <c r="I29" s="3" t="n">
        <v>1217589</v>
      </c>
      <c r="J29" s="3" t="n">
        <v>4567361</v>
      </c>
      <c r="K29" s="3" t="n">
        <v>1643886</v>
      </c>
    </row>
    <row r="30">
      <c r="A30" t="n">
        <v>28</v>
      </c>
      <c r="B30" t="inlineStr">
        <is>
          <t>Retained earnings</t>
        </is>
      </c>
      <c r="C30" s="3" t="n">
        <v>14301</v>
      </c>
      <c r="D30" s="3" t="n">
        <v>285077</v>
      </c>
      <c r="E30" s="3" t="n">
        <v>-77893</v>
      </c>
      <c r="F30" s="3" t="n">
        <v>949158</v>
      </c>
      <c r="G30" s="3" t="n">
        <v>7464241</v>
      </c>
      <c r="H30" s="3" t="n">
        <v>3313938</v>
      </c>
      <c r="I30" s="3" t="n">
        <v>966044</v>
      </c>
      <c r="J30" s="3" t="n">
        <v>974110</v>
      </c>
      <c r="K30" s="3" t="n">
        <v>3450684</v>
      </c>
    </row>
    <row r="31">
      <c r="A31" t="n">
        <v>29</v>
      </c>
      <c r="B31" t="inlineStr">
        <is>
          <t>AOCI</t>
        </is>
      </c>
      <c r="C31" s="3" t="n">
        <v>-675</v>
      </c>
      <c r="D31" s="3" t="n">
        <v>2322</v>
      </c>
      <c r="E31" s="3" t="n">
        <v>-70027</v>
      </c>
      <c r="F31" s="3" t="n">
        <v>-121846</v>
      </c>
      <c r="G31" s="3" t="n">
        <v>-1005539</v>
      </c>
      <c r="H31" s="3" t="n">
        <v>0</v>
      </c>
      <c r="I31" s="3" t="n">
        <v>55691</v>
      </c>
      <c r="J31" s="3" t="n">
        <v>-3241</v>
      </c>
      <c r="K31" s="3" t="n">
        <v>-23993</v>
      </c>
    </row>
    <row r="32">
      <c r="A32" t="n">
        <v>30</v>
      </c>
      <c r="B32" s="4" t="inlineStr">
        <is>
          <t>TOTAL EQUITY</t>
        </is>
      </c>
      <c r="C32" s="5" t="n">
        <v>19561</v>
      </c>
      <c r="D32" s="5" t="n">
        <v>2228278</v>
      </c>
      <c r="E32" s="5" t="n">
        <v>1182080</v>
      </c>
      <c r="F32" s="5" t="n">
        <v>2942749</v>
      </c>
      <c r="G32" s="5" t="n">
        <v>11675805</v>
      </c>
      <c r="H32" s="5" t="n">
        <v>4195313</v>
      </c>
      <c r="I32" s="5" t="n">
        <v>2298153</v>
      </c>
      <c r="J32" s="5" t="n">
        <v>5679531</v>
      </c>
      <c r="K32" s="5" t="n">
        <v>18601307</v>
      </c>
    </row>
    <row r="33">
      <c r="A33" t="n">
        <v>31</v>
      </c>
      <c r="B33" s="4" t="inlineStr">
        <is>
          <t>TOTAL LIABILITIES &amp; EQUITY</t>
        </is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</row>
    <row r="36">
      <c r="A36" t="inlineStr">
        <is>
          <t>BALANCE CHECK</t>
        </is>
      </c>
    </row>
    <row r="37">
      <c r="A37" t="inlineStr">
        <is>
          <t>ARCH REINSURANCE LTD. AND SUBSIDIARIES</t>
        </is>
      </c>
      <c r="B37" t="inlineStr">
        <is>
          <t>Status</t>
        </is>
      </c>
      <c r="C37" s="4">
        <f>IF(C19=C27+C32,"BALANCED","IMBALANCE")</f>
        <v/>
      </c>
    </row>
    <row r="38">
      <c r="A38" t="inlineStr">
        <is>
          <t>ASCOT BERMUDA LIMITED</t>
        </is>
      </c>
      <c r="B38" t="inlineStr">
        <is>
          <t>Status</t>
        </is>
      </c>
      <c r="D38" s="4">
        <f>IF(D19=D27+D32,"BALANCED","IMBALANCE")</f>
        <v/>
      </c>
    </row>
    <row r="39">
      <c r="A39" t="inlineStr">
        <is>
          <t>ASPEN BERMUDA LIMITED</t>
        </is>
      </c>
      <c r="B39" t="inlineStr">
        <is>
          <t>Status</t>
        </is>
      </c>
      <c r="E39" s="4">
        <f>IF(E19=E27+E32,"BALANCED","IMBALANCE")</f>
        <v/>
      </c>
    </row>
    <row r="40">
      <c r="A40" t="inlineStr">
        <is>
          <t>AXIS SPECIALTY LIMITED</t>
        </is>
      </c>
      <c r="B40" t="inlineStr">
        <is>
          <t>Status</t>
        </is>
      </c>
      <c r="F40" s="4">
        <f>IF(F19=F27+F32,"BALANCED","IMBALANCE")</f>
        <v/>
      </c>
    </row>
    <row r="41">
      <c r="A41" t="inlineStr">
        <is>
          <t>CHUBB TEMPEST REINSURANCE LTD. AND ITS SUBSIDIARIES</t>
        </is>
      </c>
      <c r="B41" t="inlineStr">
        <is>
          <t>Status</t>
        </is>
      </c>
      <c r="G41" s="4">
        <f>IF(G19=G27+G32,"BALANCED","IMBALANCE")</f>
        <v/>
      </c>
    </row>
    <row r="42">
      <c r="A42" t="inlineStr">
        <is>
          <t>EVEREST REINSURANCE (BERMUDA), LTD.</t>
        </is>
      </c>
      <c r="B42" t="inlineStr">
        <is>
          <t>Status</t>
        </is>
      </c>
      <c r="H42" s="4">
        <f>IF(H19=H27+H32,"BALANCED","IMBALANCE")</f>
        <v/>
      </c>
    </row>
    <row r="43">
      <c r="A43" t="inlineStr">
        <is>
          <t>MARKEL BERMUDA LIMITED</t>
        </is>
      </c>
      <c r="B43" t="inlineStr">
        <is>
          <t>Status</t>
        </is>
      </c>
      <c r="I43" s="4">
        <f>IF(I19=I27+I32,"BALANCED","IMBALANCE")</f>
        <v/>
      </c>
    </row>
    <row r="44">
      <c r="A44" t="inlineStr">
        <is>
          <t>RENAISSANCE REINSURANCE LTD. AND SUBSIDIARIES</t>
        </is>
      </c>
      <c r="B44" t="inlineStr">
        <is>
          <t>Status</t>
        </is>
      </c>
      <c r="J44" s="4">
        <f>IF(J19=J27+J32,"BALANCED","IMBALANCE")</f>
        <v/>
      </c>
    </row>
    <row r="45">
      <c r="A45" t="inlineStr">
        <is>
          <t>Unknown Company</t>
        </is>
      </c>
      <c r="B45" t="inlineStr">
        <is>
          <t>Status</t>
        </is>
      </c>
      <c r="K45" s="4">
        <f>IF(K19=K27+K32,"BALANCED","IMBALANCE")</f>
        <v/>
      </c>
    </row>
  </sheetData>
  <mergeCells count="1">
    <mergeCell ref="A1:Z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 ht="22" customHeight="1">
      <c r="A1" s="1" t="inlineStr">
        <is>
          <t>Income Statement - 2023</t>
        </is>
      </c>
    </row>
    <row r="2">
      <c r="A2" s="2" t="inlineStr">
        <is>
          <t>Line #</t>
        </is>
      </c>
      <c r="B2" s="2" t="inlineStr">
        <is>
          <t>Line Item</t>
        </is>
      </c>
      <c r="C2" s="2" t="inlineStr">
        <is>
          <t>ARCH REINSURANCE LTD. AND SUBSIDIARIES</t>
        </is>
      </c>
      <c r="D2" s="2" t="inlineStr">
        <is>
          <t>ASCOT BERMUDA LIMITED</t>
        </is>
      </c>
      <c r="E2" s="2" t="inlineStr">
        <is>
          <t>ASPEN BERMUDA LIMITED</t>
        </is>
      </c>
      <c r="F2" s="2" t="inlineStr">
        <is>
          <t>AXIS SPECIALTY LIMITED</t>
        </is>
      </c>
      <c r="G2" s="2" t="inlineStr">
        <is>
          <t>CHUBB TEMPEST REINSURANCE LTD. AND ITS SUBSIDIARIES</t>
        </is>
      </c>
      <c r="H2" s="2" t="inlineStr">
        <is>
          <t>EVEREST REINSURANCE (BERMUDA), LTD.</t>
        </is>
      </c>
      <c r="I2" s="2" t="inlineStr">
        <is>
          <t>MARKEL BERMUDA LIMITED</t>
        </is>
      </c>
      <c r="J2" s="2" t="inlineStr">
        <is>
          <t>RENAISSANCE REINSURANCE LTD. AND SUBSIDIARIES</t>
        </is>
      </c>
      <c r="K2" s="2" t="inlineStr">
        <is>
          <t>Unknown Company</t>
        </is>
      </c>
    </row>
    <row r="3">
      <c r="A3" t="n">
        <v>1</v>
      </c>
      <c r="B3" t="inlineStr">
        <is>
          <t>Gross premiums written</t>
        </is>
      </c>
      <c r="C3" s="3" t="n">
        <v>0</v>
      </c>
      <c r="D3" s="3" t="n">
        <v>3843943</v>
      </c>
      <c r="E3" s="3" t="n">
        <v>1328870</v>
      </c>
      <c r="F3" s="3" t="n">
        <v>1588210</v>
      </c>
      <c r="G3" s="3" t="n">
        <v>5381826</v>
      </c>
      <c r="H3" s="3" t="n">
        <v>0</v>
      </c>
      <c r="I3" s="3" t="n">
        <v>0</v>
      </c>
      <c r="J3" s="3" t="n">
        <v>3393831</v>
      </c>
      <c r="K3" s="3" t="n">
        <v>4379219</v>
      </c>
    </row>
    <row r="4">
      <c r="A4" t="n">
        <v>2</v>
      </c>
      <c r="B4" t="inlineStr">
        <is>
          <t>Ceded premiums written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</row>
    <row r="5">
      <c r="A5" t="n">
        <v>3</v>
      </c>
      <c r="B5" s="4" t="inlineStr">
        <is>
          <t>Net premiums written</t>
        </is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t="n">
        <v>4</v>
      </c>
      <c r="B6" t="inlineStr">
        <is>
          <t>Change in net unearned premiums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</row>
    <row r="7">
      <c r="A7" t="n">
        <v>5</v>
      </c>
      <c r="B7" t="inlineStr">
        <is>
          <t>Net premiums earned</t>
        </is>
      </c>
      <c r="C7" s="3" t="n">
        <v>12440</v>
      </c>
      <c r="D7" s="3" t="n">
        <v>2713322</v>
      </c>
      <c r="E7" s="3" t="n">
        <v>883054</v>
      </c>
      <c r="F7" s="3" t="n">
        <v>1358447</v>
      </c>
      <c r="G7" s="3" t="n">
        <v>4619564</v>
      </c>
      <c r="H7" s="3" t="n">
        <v>3084628</v>
      </c>
      <c r="I7" s="3" t="n">
        <v>0</v>
      </c>
      <c r="J7" s="3" t="n">
        <v>2257497</v>
      </c>
      <c r="K7" s="3" t="n">
        <v>3818123</v>
      </c>
    </row>
    <row r="8">
      <c r="A8" t="n">
        <v>6</v>
      </c>
      <c r="B8" t="inlineStr">
        <is>
          <t>Net investment income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</row>
    <row r="9">
      <c r="A9" t="n">
        <v>7</v>
      </c>
      <c r="B9" t="inlineStr">
        <is>
          <t>Net realized &amp; unrealized gains/losses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</row>
    <row r="10">
      <c r="A10" t="n">
        <v>8</v>
      </c>
      <c r="B10" t="inlineStr">
        <is>
          <t>Other income</t>
        </is>
      </c>
      <c r="C10" s="3" t="n">
        <v>27</v>
      </c>
      <c r="D10" s="3" t="n">
        <v>23523</v>
      </c>
      <c r="E10" s="3" t="n">
        <v>72016</v>
      </c>
      <c r="F10" s="3" t="n">
        <v>8063</v>
      </c>
      <c r="G10" s="3" t="n">
        <v>815002</v>
      </c>
      <c r="H10" s="3" t="n">
        <v>34991</v>
      </c>
      <c r="I10" s="3" t="n">
        <v>0</v>
      </c>
      <c r="J10" s="3" t="n">
        <v>-1648</v>
      </c>
      <c r="K10" s="3" t="n">
        <v>33727</v>
      </c>
    </row>
    <row r="11">
      <c r="A11" t="n">
        <v>9</v>
      </c>
      <c r="B11" s="4" t="inlineStr">
        <is>
          <t>TOTAL REVENUES</t>
        </is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t="n">
        <v>10</v>
      </c>
      <c r="B12" t="inlineStr">
        <is>
          <t>Net losses &amp; LAE incurred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</row>
    <row r="13">
      <c r="A13" t="n">
        <v>11</v>
      </c>
      <c r="B13" t="inlineStr">
        <is>
          <t>Net acquisition costs</t>
        </is>
      </c>
      <c r="C13" s="3" t="n">
        <v>2312</v>
      </c>
      <c r="D13" s="3" t="n">
        <v>646826</v>
      </c>
      <c r="E13" s="3" t="n">
        <v>0</v>
      </c>
      <c r="F13" s="3" t="n">
        <v>431098</v>
      </c>
      <c r="G13" s="3" t="n">
        <v>1080810</v>
      </c>
      <c r="H13" s="3" t="n">
        <v>79308</v>
      </c>
      <c r="I13" s="3" t="n">
        <v>407750</v>
      </c>
      <c r="J13" s="3" t="n">
        <v>579864</v>
      </c>
      <c r="K13" s="3" t="n">
        <v>746651</v>
      </c>
    </row>
    <row r="14">
      <c r="A14" t="n">
        <v>12</v>
      </c>
      <c r="B14" t="inlineStr">
        <is>
          <t>General &amp; administrative expenses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</row>
    <row r="15">
      <c r="A15" t="n">
        <v>13</v>
      </c>
      <c r="B15" s="4" t="inlineStr">
        <is>
          <t>Total underwriting expenses</t>
        </is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</row>
    <row r="16">
      <c r="A16" t="n">
        <v>14</v>
      </c>
      <c r="B16" t="inlineStr">
        <is>
          <t>Interest expense</t>
        </is>
      </c>
      <c r="C16" s="3" t="n">
        <v>74</v>
      </c>
      <c r="D16" s="3" t="n">
        <v>0</v>
      </c>
      <c r="E16" s="3" t="n">
        <v>0</v>
      </c>
      <c r="F16" s="3" t="n">
        <v>0</v>
      </c>
      <c r="G16" s="3" t="n">
        <v>7188</v>
      </c>
      <c r="H16" s="3" t="n">
        <v>0</v>
      </c>
      <c r="I16" s="3" t="n">
        <v>187</v>
      </c>
      <c r="J16" s="3" t="n">
        <v>0</v>
      </c>
      <c r="K16" s="3" t="n">
        <v>0</v>
      </c>
    </row>
    <row r="17">
      <c r="A17" t="n">
        <v>15</v>
      </c>
      <c r="B17" t="inlineStr">
        <is>
          <t>Other expenses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</row>
    <row r="18">
      <c r="A18" t="n">
        <v>16</v>
      </c>
      <c r="B18" s="4" t="inlineStr">
        <is>
          <t>Total expenses</t>
        </is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</row>
    <row r="19">
      <c r="A19" t="n">
        <v>17</v>
      </c>
      <c r="B19" s="4" t="inlineStr">
        <is>
          <t>Income before tax</t>
        </is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</row>
    <row r="20">
      <c r="A20" t="n">
        <v>18</v>
      </c>
      <c r="B20" t="inlineStr">
        <is>
          <t>Income tax expense</t>
        </is>
      </c>
      <c r="C20" s="3" t="n">
        <v>-833</v>
      </c>
      <c r="D20" s="3" t="n">
        <v>20474</v>
      </c>
      <c r="E20" s="3" t="n">
        <v>0</v>
      </c>
      <c r="F20" s="3" t="n">
        <v>13272</v>
      </c>
      <c r="G20" s="3" t="n">
        <v>0</v>
      </c>
      <c r="H20" s="3" t="n">
        <v>-468106</v>
      </c>
      <c r="I20" s="3" t="n">
        <v>111720</v>
      </c>
      <c r="J20" s="3" t="n">
        <v>436027</v>
      </c>
      <c r="K20" s="3" t="n">
        <v>435171</v>
      </c>
    </row>
    <row r="21">
      <c r="A21" t="n">
        <v>19</v>
      </c>
      <c r="B21" s="4" t="inlineStr">
        <is>
          <t>Net income</t>
        </is>
      </c>
      <c r="C21" s="5" t="n">
        <v>4557</v>
      </c>
      <c r="D21" s="5" t="n">
        <v>497459</v>
      </c>
      <c r="E21" s="5" t="n">
        <v>444978</v>
      </c>
      <c r="F21" s="5" t="n">
        <v>287033</v>
      </c>
      <c r="G21" s="5" t="n">
        <v>3002478</v>
      </c>
      <c r="H21" s="5" t="n">
        <v>30962</v>
      </c>
      <c r="I21" s="5" t="n">
        <v>6887</v>
      </c>
      <c r="J21" s="5" t="n">
        <v>1756862</v>
      </c>
      <c r="K21" s="5" t="n">
        <v>1619788</v>
      </c>
    </row>
  </sheetData>
  <mergeCells count="1">
    <mergeCell ref="A1:Z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 ht="22" customHeight="1">
      <c r="A1" s="1" t="inlineStr">
        <is>
          <t>Cash Flows - 2023</t>
        </is>
      </c>
    </row>
    <row r="2">
      <c r="A2" s="2" t="inlineStr">
        <is>
          <t>Line #</t>
        </is>
      </c>
      <c r="B2" s="2" t="inlineStr">
        <is>
          <t>Line Item</t>
        </is>
      </c>
      <c r="C2" s="2" t="inlineStr">
        <is>
          <t>ARCH REINSURANCE LTD. AND SUBSIDIARIES</t>
        </is>
      </c>
      <c r="D2" s="2" t="inlineStr">
        <is>
          <t>ASCOT BERMUDA LIMITED</t>
        </is>
      </c>
      <c r="E2" s="2" t="inlineStr">
        <is>
          <t>ASPEN BERMUDA LIMITED</t>
        </is>
      </c>
      <c r="F2" s="2" t="inlineStr">
        <is>
          <t>AXIS SPECIALTY LIMITED</t>
        </is>
      </c>
      <c r="G2" s="2" t="inlineStr">
        <is>
          <t>CHUBB TEMPEST REINSURANCE LTD. AND ITS SUBSIDIARIES</t>
        </is>
      </c>
      <c r="H2" s="2" t="inlineStr">
        <is>
          <t>EVEREST REINSURANCE (BERMUDA), LTD.</t>
        </is>
      </c>
      <c r="I2" s="2" t="inlineStr">
        <is>
          <t>MARKEL BERMUDA LIMITED</t>
        </is>
      </c>
      <c r="J2" s="2" t="inlineStr">
        <is>
          <t>RENAISSANCE REINSURANCE LTD. AND SUBSIDIARIES</t>
        </is>
      </c>
      <c r="K2" s="2" t="inlineStr">
        <is>
          <t>Unknown Company</t>
        </is>
      </c>
    </row>
    <row r="3">
      <c r="A3" t="n">
        <v>1</v>
      </c>
      <c r="B3" t="inlineStr">
        <is>
          <t>Net income</t>
        </is>
      </c>
      <c r="C3" s="3" t="n">
        <v>4557</v>
      </c>
      <c r="D3" s="3" t="n">
        <v>497459</v>
      </c>
      <c r="E3" s="3" t="n">
        <v>410817</v>
      </c>
      <c r="F3" s="3" t="n">
        <v>287033</v>
      </c>
      <c r="G3" s="3" t="n">
        <v>-814162</v>
      </c>
      <c r="H3" s="3" t="n">
        <v>1481078</v>
      </c>
      <c r="I3" s="3" t="n">
        <v>429512</v>
      </c>
      <c r="J3" s="3" t="n">
        <v>0</v>
      </c>
      <c r="K3" s="3" t="n">
        <v>1619788</v>
      </c>
    </row>
    <row r="4">
      <c r="A4" t="n">
        <v>2</v>
      </c>
      <c r="B4" t="inlineStr">
        <is>
          <t>Depreciation &amp; amortization</t>
        </is>
      </c>
      <c r="C4" s="3" t="n">
        <v>0</v>
      </c>
      <c r="D4" s="3" t="n">
        <v>0</v>
      </c>
      <c r="E4" s="3" t="n">
        <v>0</v>
      </c>
      <c r="F4" s="3" t="n">
        <v>2030</v>
      </c>
      <c r="G4" s="3" t="n">
        <v>0</v>
      </c>
      <c r="H4" s="3" t="n">
        <v>0</v>
      </c>
      <c r="I4" s="3" t="n">
        <v>0</v>
      </c>
      <c r="J4" s="3" t="n">
        <v>32450</v>
      </c>
      <c r="K4" s="3" t="n">
        <v>-19995</v>
      </c>
    </row>
    <row r="5">
      <c r="A5" t="n">
        <v>3</v>
      </c>
      <c r="B5" t="inlineStr">
        <is>
          <t>Gains/losses on investments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</row>
    <row r="6">
      <c r="A6" t="n">
        <v>4</v>
      </c>
      <c r="B6" t="inlineStr">
        <is>
          <t>Changes in working capital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</row>
    <row r="7">
      <c r="A7" t="n">
        <v>5</v>
      </c>
      <c r="B7" t="inlineStr">
        <is>
          <t>Other operating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</row>
    <row r="8">
      <c r="A8" t="n">
        <v>11</v>
      </c>
      <c r="B8" s="4" t="inlineStr">
        <is>
          <t>NET CASH FROM OPERATIONS</t>
        </is>
      </c>
      <c r="C8" s="5" t="n">
        <v>5869</v>
      </c>
      <c r="D8" s="5" t="n">
        <v>1232319</v>
      </c>
      <c r="E8" s="5" t="n">
        <v>162886</v>
      </c>
      <c r="F8" s="5" t="n">
        <v>146462</v>
      </c>
      <c r="G8" s="5" t="n">
        <v>2934439</v>
      </c>
      <c r="H8" s="5" t="n">
        <v>1308565</v>
      </c>
      <c r="I8" s="5" t="n">
        <v>61134</v>
      </c>
      <c r="J8" s="5" t="n">
        <v>679563</v>
      </c>
      <c r="K8" s="5" t="n">
        <v>916066</v>
      </c>
    </row>
    <row r="9">
      <c r="A9" t="n">
        <v>12</v>
      </c>
      <c r="B9" t="inlineStr">
        <is>
          <t>Purchases of investments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</row>
    <row r="10">
      <c r="A10" t="n">
        <v>13</v>
      </c>
      <c r="B10" t="inlineStr">
        <is>
          <t>Proceeds from sales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</row>
    <row r="11">
      <c r="A11" t="n">
        <v>14</v>
      </c>
      <c r="B11" t="inlineStr">
        <is>
          <t>Other investing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</row>
    <row r="12">
      <c r="A12" t="n">
        <v>18</v>
      </c>
      <c r="B12" s="4" t="inlineStr">
        <is>
          <t>NET CASH FROM INVESTING</t>
        </is>
      </c>
      <c r="C12" s="5" t="n">
        <v>-5463</v>
      </c>
      <c r="D12" s="5" t="n">
        <v>-1092361</v>
      </c>
      <c r="E12" s="5" t="n">
        <v>126323</v>
      </c>
      <c r="F12" s="5" t="n">
        <v>-85333</v>
      </c>
      <c r="G12" s="5" t="n">
        <v>-698613</v>
      </c>
      <c r="H12" s="5" t="n">
        <v>-980239</v>
      </c>
      <c r="I12" s="5" t="n">
        <v>-255754</v>
      </c>
      <c r="J12" s="5" t="n">
        <v>-79886</v>
      </c>
      <c r="K12" s="5" t="n">
        <v>-880180</v>
      </c>
    </row>
    <row r="13">
      <c r="A13" t="n">
        <v>19</v>
      </c>
      <c r="B13" t="inlineStr">
        <is>
          <t>Capital contributions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</row>
    <row r="14">
      <c r="A14" t="n">
        <v>20</v>
      </c>
      <c r="B14" t="inlineStr">
        <is>
          <t>Dividends paid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</row>
    <row r="15">
      <c r="A15" t="n">
        <v>21</v>
      </c>
      <c r="B15" t="inlineStr">
        <is>
          <t>Debt activity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</row>
    <row r="16">
      <c r="A16" t="n">
        <v>24</v>
      </c>
      <c r="B16" s="4" t="inlineStr">
        <is>
          <t>NET CASH FROM FINANCING</t>
        </is>
      </c>
      <c r="C16" s="5" t="n">
        <v>-192</v>
      </c>
      <c r="D16" s="5" t="n">
        <v>-50000</v>
      </c>
      <c r="E16" s="5" t="n">
        <v>-99989</v>
      </c>
      <c r="F16" s="5" t="n">
        <v>-90393</v>
      </c>
      <c r="G16" s="5" t="n">
        <v>-1594899</v>
      </c>
      <c r="H16" s="5" t="n">
        <v>-185000</v>
      </c>
      <c r="I16" s="5" t="n">
        <v>-102966</v>
      </c>
      <c r="J16" s="5" t="n">
        <v>-168912</v>
      </c>
      <c r="K16" s="5" t="n">
        <v>-200000</v>
      </c>
    </row>
    <row r="17">
      <c r="A17" t="n">
        <v>25</v>
      </c>
      <c r="B17" t="inlineStr">
        <is>
          <t>Effect of FX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</row>
    <row r="18">
      <c r="A18" t="n">
        <v>26</v>
      </c>
      <c r="B18" s="4" t="inlineStr">
        <is>
          <t>NET CHANGE IN CASH</t>
        </is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</row>
    <row r="19">
      <c r="A19" t="n">
        <v>27</v>
      </c>
      <c r="B19" t="inlineStr">
        <is>
          <t>Cash - beginning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</row>
    <row r="20">
      <c r="A20" t="n">
        <v>28</v>
      </c>
      <c r="B20" s="4" t="inlineStr">
        <is>
          <t>Cash - end of year</t>
        </is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2026-03-07T14:49:40Z</dcterms:created>
  <dcterms:modified xsi:type="dcterms:W3CDTF">2026-03-07T14:49:40Z</dcterms:modified>
</cp:coreProperties>
</file>